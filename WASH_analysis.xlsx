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72276708-232B-47E5-9335-19EEFE34D606}" xr6:coauthVersionLast="47" xr6:coauthVersionMax="47" xr10:uidLastSave="{00000000-0000-0000-0000-000000000000}"/>
  <bookViews>
    <workbookView xWindow="-120" yWindow="-120" windowWidth="20730" windowHeight="11160" xr2:uid="{EB2D2AFF-314F-4A89-84F9-2AE491D3FA79}"/>
  </bookViews>
  <sheets>
    <sheet name="Data" sheetId="1" r:id="rId1"/>
    <sheet name="Indicator" sheetId="2" r:id="rId2"/>
    <sheet name="Distribution of water sources" sheetId="4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2" l="1"/>
  <c r="B4" i="2"/>
  <c r="B3" i="2"/>
  <c r="B2" i="2"/>
</calcChain>
</file>

<file path=xl/sharedStrings.xml><?xml version="1.0" encoding="utf-8"?>
<sst xmlns="http://schemas.openxmlformats.org/spreadsheetml/2006/main" count="114" uniqueCount="64">
  <si>
    <t>survey_id</t>
  </si>
  <si>
    <t>hh_size</t>
  </si>
  <si>
    <t>Primary_water_source</t>
  </si>
  <si>
    <t>Sanitation_facility</t>
  </si>
  <si>
    <t>Handwashing_facility</t>
  </si>
  <si>
    <t>soap_present</t>
  </si>
  <si>
    <t>Time_to_primary_source_minute</t>
  </si>
  <si>
    <t>Quantity_of_water_collected_pe</t>
  </si>
  <si>
    <t>Comments</t>
  </si>
  <si>
    <t>is_water_improved</t>
  </si>
  <si>
    <t>is_sanitation_improved</t>
  </si>
  <si>
    <t>HHD-001</t>
  </si>
  <si>
    <t>piped_water__tap</t>
  </si>
  <si>
    <t>flush_to_sewer_connected</t>
  </si>
  <si>
    <t>yes</t>
  </si>
  <si>
    <t>Has piped water at yard</t>
  </si>
  <si>
    <t>HHD-002</t>
  </si>
  <si>
    <t>protected_well</t>
  </si>
  <si>
    <t>pit_latrine__with_slab</t>
  </si>
  <si>
    <t>Walk to well</t>
  </si>
  <si>
    <t>HHD-003</t>
  </si>
  <si>
    <t>river_stream_pond</t>
  </si>
  <si>
    <t>no_facility___open_defecation</t>
  </si>
  <si>
    <t>no</t>
  </si>
  <si>
    <t>Collects from nearby pond</t>
  </si>
  <si>
    <t>HHD-004</t>
  </si>
  <si>
    <t>borehole</t>
  </si>
  <si>
    <t>Motorized pump</t>
  </si>
  <si>
    <t>HHD-005</t>
  </si>
  <si>
    <t>rainwater</t>
  </si>
  <si>
    <t>pit_latrine__no_slab</t>
  </si>
  <si>
    <t>Has roof catchment</t>
  </si>
  <si>
    <t>HHD-006</t>
  </si>
  <si>
    <t>bottled_truck_vendor</t>
  </si>
  <si>
    <t>flush_to_septic_pit_latrine</t>
  </si>
  <si>
    <t>Buying water daily</t>
  </si>
  <si>
    <t>HHD-007</t>
  </si>
  <si>
    <t>unprotected_well</t>
  </si>
  <si>
    <t>Well not covered properly</t>
  </si>
  <si>
    <t>HHD-008</t>
  </si>
  <si>
    <t>Good supply</t>
  </si>
  <si>
    <t>HHD-009</t>
  </si>
  <si>
    <t>Community borehole</t>
  </si>
  <si>
    <t>HHD-010</t>
  </si>
  <si>
    <t>Far from village</t>
  </si>
  <si>
    <t>HHD-011</t>
  </si>
  <si>
    <t>Has to wait in queue</t>
  </si>
  <si>
    <t>HHD-012</t>
  </si>
  <si>
    <t>Shared tap</t>
  </si>
  <si>
    <t>HHD-013</t>
  </si>
  <si>
    <t>Stored in tanks</t>
  </si>
  <si>
    <t>HHD-014</t>
  </si>
  <si>
    <t>Uses river sometimes</t>
  </si>
  <si>
    <t>HHD-15</t>
  </si>
  <si>
    <t>Relies on vendor during dry season</t>
  </si>
  <si>
    <t>Indicator</t>
  </si>
  <si>
    <t>Formula</t>
  </si>
  <si>
    <t>% Improved Water</t>
  </si>
  <si>
    <t>Average Time to Source (min)</t>
  </si>
  <si>
    <t>% Improved Sanitation</t>
  </si>
  <si>
    <t>% Soap Present</t>
  </si>
  <si>
    <t>Row Labels</t>
  </si>
  <si>
    <t>Grand Total</t>
  </si>
  <si>
    <t>Count of Primary_water_source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</si>
</sst>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/>
    <xf numFmtId="0" fontId="3" fillId="0" borderId="1" xfId="0" applyFont="1" applyBorder="1"/>
    <xf numFmtId="9" fontId="3" fillId="0" borderId="1" xfId="1" applyFont="1" applyBorder="1"/>
    <xf numFmtId="0" fontId="0" fillId="0" borderId="0" xfId="0" pivotButton="1"/>
    <xf numFmtId="0" fontId="0" fillId="0" borderId="0" xfId="0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[WASH_analysis.xlsx]Distribution of water sources!PivotTable1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Distribution of Primary Water Sources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'Distribution of water sources'!$B$3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'Distribution of water sources'!$A$4:$A$11</c:f>
              <c:strCache>
                <c:ptCount val="7"/>
                <c:pt idx="0">
                  <c:v>borehole</c:v>
                </c:pt>
                <c:pt idx="1">
                  <c:v>bottled_truck_vendor</c:v>
                </c:pt>
                <c:pt idx="2">
                  <c:v>piped_water__tap</c:v>
                </c:pt>
                <c:pt idx="3">
                  <c:v>protected_well</c:v>
                </c:pt>
                <c:pt idx="4">
                  <c:v>rainwater</c:v>
                </c:pt>
                <c:pt idx="5">
                  <c:v>river_stream_pond</c:v>
                </c:pt>
                <c:pt idx="6">
                  <c:v>unprotected_well</c:v>
                </c:pt>
              </c:strCache>
            </c:strRef>
          </c:cat>
          <c:val>
            <c:numRef>
              <c:f>'Distribution of water sources'!$B$4:$B$11</c:f>
              <c:numCache>
                <c:formatCode>General</c:formatCode>
                <c:ptCount val="7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84-476B-B774-03AAD3EC75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22832"/>
        <c:axId val="5713712"/>
      </c:barChart>
      <c:catAx>
        <c:axId val="5722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3712"/>
        <c:crosses val="autoZero"/>
        <c:auto val="1"/>
        <c:lblAlgn val="ctr"/>
        <c:lblOffset val="100"/>
        <c:noMultiLvlLbl val="0"/>
      </c:catAx>
      <c:valAx>
        <c:axId val="571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2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1</xdr:row>
      <xdr:rowOff>171450</xdr:rowOff>
    </xdr:from>
    <xdr:to>
      <xdr:col>11</xdr:col>
      <xdr:colOff>85725</xdr:colOff>
      <xdr:row>16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F17520-A072-42B7-C49A-C4BF76C270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hyu Phyu Aung Lwin" refreshedDate="45995.518551273148" createdVersion="8" refreshedVersion="8" minRefreshableVersion="3" recordCount="15" xr:uid="{60DB2275-C135-40E9-90B8-16CACAF84B2A}">
  <cacheSource type="worksheet">
    <worksheetSource ref="A1:K16" sheet="Data"/>
  </cacheSource>
  <cacheFields count="11">
    <cacheField name="survey_id" numFmtId="0">
      <sharedItems/>
    </cacheField>
    <cacheField name="hh_size" numFmtId="0">
      <sharedItems containsSemiMixedTypes="0" containsString="0" containsNumber="1" containsInteger="1" minValue="1" maxValue="9"/>
    </cacheField>
    <cacheField name="Primary_water_source" numFmtId="0">
      <sharedItems count="7">
        <s v="piped_water__tap"/>
        <s v="protected_well"/>
        <s v="river_stream_pond"/>
        <s v="borehole"/>
        <s v="rainwater"/>
        <s v="bottled_truck_vendor"/>
        <s v="unprotected_well"/>
      </sharedItems>
    </cacheField>
    <cacheField name="Sanitation_facility" numFmtId="0">
      <sharedItems/>
    </cacheField>
    <cacheField name="Handwashing_facility" numFmtId="0">
      <sharedItems/>
    </cacheField>
    <cacheField name="soap_present" numFmtId="0">
      <sharedItems containsBlank="1"/>
    </cacheField>
    <cacheField name="Time_to_primary_source_minute" numFmtId="0">
      <sharedItems containsSemiMixedTypes="0" containsString="0" containsNumber="1" containsInteger="1" minValue="0" maxValue="40"/>
    </cacheField>
    <cacheField name="Quantity_of_water_collected_pe" numFmtId="0">
      <sharedItems containsSemiMixedTypes="0" containsString="0" containsNumber="1" containsInteger="1" minValue="20" maxValue="150"/>
    </cacheField>
    <cacheField name="Comments" numFmtId="0">
      <sharedItems/>
    </cacheField>
    <cacheField name="is_water_improved" numFmtId="0">
      <sharedItems containsSemiMixedTypes="0" containsString="0" containsNumber="1" containsInteger="1" minValue="0" maxValue="1"/>
    </cacheField>
    <cacheField name="is_sanitation_improved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s v="HHD-001"/>
    <n v="5"/>
    <x v="0"/>
    <s v="flush_to_sewer_connected"/>
    <s v="yes"/>
    <s v="yes"/>
    <n v="5"/>
    <n v="120"/>
    <s v="Has piped water at yard"/>
    <n v="1"/>
    <n v="1"/>
  </r>
  <r>
    <s v="HHD-002"/>
    <n v="3"/>
    <x v="1"/>
    <s v="pit_latrine__with_slab"/>
    <s v="yes"/>
    <s v="yes"/>
    <n v="15"/>
    <n v="60"/>
    <s v="Walk to well"/>
    <n v="1"/>
    <n v="1"/>
  </r>
  <r>
    <s v="HHD-003"/>
    <n v="7"/>
    <x v="2"/>
    <s v="no_facility___open_defecation"/>
    <s v="no"/>
    <m/>
    <n v="30"/>
    <n v="40"/>
    <s v="Collects from nearby pond"/>
    <n v="0"/>
    <n v="0"/>
  </r>
  <r>
    <s v="HHD-004"/>
    <n v="4"/>
    <x v="3"/>
    <s v="pit_latrine__with_slab"/>
    <s v="yes"/>
    <s v="no"/>
    <n v="10"/>
    <n v="80"/>
    <s v="Motorized pump"/>
    <n v="1"/>
    <n v="1"/>
  </r>
  <r>
    <s v="HHD-005"/>
    <n v="6"/>
    <x v="4"/>
    <s v="pit_latrine__no_slab"/>
    <s v="yes"/>
    <s v="yes"/>
    <n v="0"/>
    <n v="100"/>
    <s v="Has roof catchment"/>
    <n v="1"/>
    <n v="0"/>
  </r>
  <r>
    <s v="HHD-006"/>
    <n v="2"/>
    <x v="5"/>
    <s v="flush_to_septic_pit_latrine"/>
    <s v="no"/>
    <m/>
    <n v="20"/>
    <n v="20"/>
    <s v="Buying water daily"/>
    <n v="0"/>
    <n v="1"/>
  </r>
  <r>
    <s v="HHD-007"/>
    <n v="8"/>
    <x v="6"/>
    <s v="pit_latrine__no_slab"/>
    <s v="yes"/>
    <s v="no"/>
    <n v="25"/>
    <n v="50"/>
    <s v="Well not covered properly"/>
    <n v="0"/>
    <n v="0"/>
  </r>
  <r>
    <s v="HHD-008"/>
    <n v="5"/>
    <x v="0"/>
    <s v="pit_latrine__no_slab"/>
    <s v="yes"/>
    <s v="no"/>
    <n v="2"/>
    <n v="150"/>
    <s v="Good supply"/>
    <n v="1"/>
    <n v="0"/>
  </r>
  <r>
    <s v="HHD-009"/>
    <n v="4"/>
    <x v="3"/>
    <s v="pit_latrine__with_slab"/>
    <s v="yes"/>
    <s v="yes"/>
    <n v="12"/>
    <n v="90"/>
    <s v="Community borehole"/>
    <n v="1"/>
    <n v="1"/>
  </r>
  <r>
    <s v="HHD-010"/>
    <n v="1"/>
    <x v="2"/>
    <s v="no_facility___open_defecation"/>
    <s v="no"/>
    <m/>
    <n v="40"/>
    <n v="25"/>
    <s v="Far from village"/>
    <n v="0"/>
    <n v="0"/>
  </r>
  <r>
    <s v="HHD-011"/>
    <n v="6"/>
    <x v="1"/>
    <s v="pit_latrine__with_slab"/>
    <s v="yes"/>
    <s v="yes"/>
    <n v="15"/>
    <n v="70"/>
    <s v="Has to wait in queue"/>
    <n v="1"/>
    <n v="1"/>
  </r>
  <r>
    <s v="HHD-012"/>
    <n v="7"/>
    <x v="0"/>
    <s v="flush_to_septic_pit_latrine"/>
    <s v="yes"/>
    <s v="yes"/>
    <n v="4"/>
    <n v="110"/>
    <s v="Shared tap"/>
    <n v="1"/>
    <n v="1"/>
  </r>
  <r>
    <s v="HHD-013"/>
    <n v="3"/>
    <x v="4"/>
    <s v="pit_latrine__with_slab"/>
    <s v="yes"/>
    <s v="yes"/>
    <n v="0"/>
    <n v="85"/>
    <s v="Stored in tanks"/>
    <n v="1"/>
    <n v="1"/>
  </r>
  <r>
    <s v="HHD-014"/>
    <n v="9"/>
    <x v="6"/>
    <s v="no_facility___open_defecation"/>
    <s v="yes"/>
    <s v="yes"/>
    <n v="35"/>
    <n v="30"/>
    <s v="Uses river sometimes"/>
    <n v="0"/>
    <n v="0"/>
  </r>
  <r>
    <s v="HHD-15"/>
    <n v="4"/>
    <x v="5"/>
    <s v="pit_latrine__no_slab"/>
    <s v="yes"/>
    <s v="no"/>
    <n v="18"/>
    <n v="55"/>
    <s v="Relies on vendor during dry season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5A1947-9CD3-4BB2-82D7-2990CFB15B0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1" firstHeaderRow="1" firstDataRow="1" firstDataCol="1"/>
  <pivotFields count="11">
    <pivotField showAll="0"/>
    <pivotField showAll="0"/>
    <pivotField axis="axisRow" dataField="1" showAll="0">
      <items count="8">
        <item x="3"/>
        <item x="5"/>
        <item x="0"/>
        <item x="1"/>
        <item x="4"/>
        <item x="2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Primary_water_source" fld="2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22AA0-C60C-457A-B27D-8FD7223E2FD0}">
  <dimension ref="A1:K16"/>
  <sheetViews>
    <sheetView tabSelected="1" workbookViewId="0"/>
  </sheetViews>
  <sheetFormatPr defaultRowHeight="15" x14ac:dyDescent="0.25"/>
  <cols>
    <col min="2" max="2" width="7.5703125" bestFit="1" customWidth="1"/>
    <col min="3" max="3" width="20.7109375" bestFit="1" customWidth="1"/>
    <col min="4" max="4" width="27.7109375" bestFit="1" customWidth="1"/>
    <col min="5" max="5" width="20.140625" bestFit="1" customWidth="1"/>
    <col min="6" max="6" width="12.85546875" bestFit="1" customWidth="1"/>
    <col min="7" max="7" width="30.140625" bestFit="1" customWidth="1"/>
    <col min="8" max="8" width="29.140625" bestFit="1" customWidth="1"/>
    <col min="9" max="9" width="32.28515625" bestFit="1" customWidth="1"/>
    <col min="10" max="10" width="17.7109375" bestFit="1" customWidth="1"/>
    <col min="11" max="11" width="22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5</v>
      </c>
      <c r="C2" t="s">
        <v>12</v>
      </c>
      <c r="D2" t="s">
        <v>13</v>
      </c>
      <c r="E2" t="s">
        <v>14</v>
      </c>
      <c r="F2" t="s">
        <v>14</v>
      </c>
      <c r="G2">
        <v>5</v>
      </c>
      <c r="H2">
        <v>120</v>
      </c>
      <c r="I2" t="s">
        <v>15</v>
      </c>
      <c r="J2">
        <v>1</v>
      </c>
      <c r="K2">
        <v>1</v>
      </c>
    </row>
    <row r="3" spans="1:11" x14ac:dyDescent="0.25">
      <c r="A3" t="s">
        <v>16</v>
      </c>
      <c r="B3">
        <v>3</v>
      </c>
      <c r="C3" t="s">
        <v>17</v>
      </c>
      <c r="D3" t="s">
        <v>18</v>
      </c>
      <c r="E3" t="s">
        <v>14</v>
      </c>
      <c r="F3" t="s">
        <v>14</v>
      </c>
      <c r="G3">
        <v>15</v>
      </c>
      <c r="H3">
        <v>60</v>
      </c>
      <c r="I3" t="s">
        <v>19</v>
      </c>
      <c r="J3">
        <v>1</v>
      </c>
      <c r="K3">
        <v>1</v>
      </c>
    </row>
    <row r="4" spans="1:11" x14ac:dyDescent="0.25">
      <c r="A4" t="s">
        <v>20</v>
      </c>
      <c r="B4">
        <v>7</v>
      </c>
      <c r="C4" t="s">
        <v>21</v>
      </c>
      <c r="D4" t="s">
        <v>22</v>
      </c>
      <c r="E4" t="s">
        <v>23</v>
      </c>
      <c r="G4">
        <v>30</v>
      </c>
      <c r="H4">
        <v>40</v>
      </c>
      <c r="I4" t="s">
        <v>24</v>
      </c>
      <c r="J4">
        <v>0</v>
      </c>
      <c r="K4">
        <v>0</v>
      </c>
    </row>
    <row r="5" spans="1:11" x14ac:dyDescent="0.25">
      <c r="A5" t="s">
        <v>25</v>
      </c>
      <c r="B5">
        <v>4</v>
      </c>
      <c r="C5" t="s">
        <v>26</v>
      </c>
      <c r="D5" t="s">
        <v>18</v>
      </c>
      <c r="E5" t="s">
        <v>14</v>
      </c>
      <c r="F5" t="s">
        <v>23</v>
      </c>
      <c r="G5">
        <v>10</v>
      </c>
      <c r="H5">
        <v>80</v>
      </c>
      <c r="I5" t="s">
        <v>27</v>
      </c>
      <c r="J5">
        <v>1</v>
      </c>
      <c r="K5">
        <v>1</v>
      </c>
    </row>
    <row r="6" spans="1:11" x14ac:dyDescent="0.25">
      <c r="A6" t="s">
        <v>28</v>
      </c>
      <c r="B6">
        <v>6</v>
      </c>
      <c r="C6" t="s">
        <v>29</v>
      </c>
      <c r="D6" t="s">
        <v>30</v>
      </c>
      <c r="E6" t="s">
        <v>14</v>
      </c>
      <c r="F6" t="s">
        <v>14</v>
      </c>
      <c r="G6">
        <v>0</v>
      </c>
      <c r="H6">
        <v>100</v>
      </c>
      <c r="I6" t="s">
        <v>31</v>
      </c>
      <c r="J6">
        <v>1</v>
      </c>
      <c r="K6">
        <v>0</v>
      </c>
    </row>
    <row r="7" spans="1:11" x14ac:dyDescent="0.25">
      <c r="A7" t="s">
        <v>32</v>
      </c>
      <c r="B7">
        <v>2</v>
      </c>
      <c r="C7" t="s">
        <v>33</v>
      </c>
      <c r="D7" t="s">
        <v>34</v>
      </c>
      <c r="E7" t="s">
        <v>23</v>
      </c>
      <c r="G7">
        <v>20</v>
      </c>
      <c r="H7">
        <v>20</v>
      </c>
      <c r="I7" t="s">
        <v>35</v>
      </c>
      <c r="J7">
        <v>0</v>
      </c>
      <c r="K7">
        <v>1</v>
      </c>
    </row>
    <row r="8" spans="1:11" x14ac:dyDescent="0.25">
      <c r="A8" t="s">
        <v>36</v>
      </c>
      <c r="B8">
        <v>8</v>
      </c>
      <c r="C8" t="s">
        <v>37</v>
      </c>
      <c r="D8" t="s">
        <v>30</v>
      </c>
      <c r="E8" t="s">
        <v>14</v>
      </c>
      <c r="F8" t="s">
        <v>23</v>
      </c>
      <c r="G8">
        <v>25</v>
      </c>
      <c r="H8">
        <v>50</v>
      </c>
      <c r="I8" t="s">
        <v>38</v>
      </c>
      <c r="J8">
        <v>0</v>
      </c>
      <c r="K8">
        <v>0</v>
      </c>
    </row>
    <row r="9" spans="1:11" x14ac:dyDescent="0.25">
      <c r="A9" t="s">
        <v>39</v>
      </c>
      <c r="B9">
        <v>5</v>
      </c>
      <c r="C9" t="s">
        <v>12</v>
      </c>
      <c r="D9" t="s">
        <v>30</v>
      </c>
      <c r="E9" t="s">
        <v>14</v>
      </c>
      <c r="F9" t="s">
        <v>23</v>
      </c>
      <c r="G9">
        <v>2</v>
      </c>
      <c r="H9">
        <v>150</v>
      </c>
      <c r="I9" t="s">
        <v>40</v>
      </c>
      <c r="J9">
        <v>1</v>
      </c>
      <c r="K9">
        <v>0</v>
      </c>
    </row>
    <row r="10" spans="1:11" x14ac:dyDescent="0.25">
      <c r="A10" t="s">
        <v>41</v>
      </c>
      <c r="B10">
        <v>4</v>
      </c>
      <c r="C10" t="s">
        <v>26</v>
      </c>
      <c r="D10" t="s">
        <v>18</v>
      </c>
      <c r="E10" t="s">
        <v>14</v>
      </c>
      <c r="F10" t="s">
        <v>14</v>
      </c>
      <c r="G10">
        <v>12</v>
      </c>
      <c r="H10">
        <v>90</v>
      </c>
      <c r="I10" t="s">
        <v>42</v>
      </c>
      <c r="J10">
        <v>1</v>
      </c>
      <c r="K10">
        <v>1</v>
      </c>
    </row>
    <row r="11" spans="1:11" x14ac:dyDescent="0.25">
      <c r="A11" t="s">
        <v>43</v>
      </c>
      <c r="B11">
        <v>1</v>
      </c>
      <c r="C11" t="s">
        <v>21</v>
      </c>
      <c r="D11" t="s">
        <v>22</v>
      </c>
      <c r="E11" t="s">
        <v>23</v>
      </c>
      <c r="G11">
        <v>40</v>
      </c>
      <c r="H11">
        <v>25</v>
      </c>
      <c r="I11" t="s">
        <v>44</v>
      </c>
      <c r="J11">
        <v>0</v>
      </c>
      <c r="K11">
        <v>0</v>
      </c>
    </row>
    <row r="12" spans="1:11" x14ac:dyDescent="0.25">
      <c r="A12" t="s">
        <v>45</v>
      </c>
      <c r="B12">
        <v>6</v>
      </c>
      <c r="C12" t="s">
        <v>17</v>
      </c>
      <c r="D12" t="s">
        <v>18</v>
      </c>
      <c r="E12" t="s">
        <v>14</v>
      </c>
      <c r="F12" t="s">
        <v>14</v>
      </c>
      <c r="G12">
        <v>15</v>
      </c>
      <c r="H12">
        <v>70</v>
      </c>
      <c r="I12" t="s">
        <v>46</v>
      </c>
      <c r="J12">
        <v>1</v>
      </c>
      <c r="K12">
        <v>1</v>
      </c>
    </row>
    <row r="13" spans="1:11" x14ac:dyDescent="0.25">
      <c r="A13" t="s">
        <v>47</v>
      </c>
      <c r="B13">
        <v>7</v>
      </c>
      <c r="C13" t="s">
        <v>12</v>
      </c>
      <c r="D13" t="s">
        <v>34</v>
      </c>
      <c r="E13" t="s">
        <v>14</v>
      </c>
      <c r="F13" t="s">
        <v>14</v>
      </c>
      <c r="G13">
        <v>4</v>
      </c>
      <c r="H13">
        <v>110</v>
      </c>
      <c r="I13" t="s">
        <v>48</v>
      </c>
      <c r="J13">
        <v>1</v>
      </c>
      <c r="K13">
        <v>1</v>
      </c>
    </row>
    <row r="14" spans="1:11" x14ac:dyDescent="0.25">
      <c r="A14" t="s">
        <v>49</v>
      </c>
      <c r="B14">
        <v>3</v>
      </c>
      <c r="C14" t="s">
        <v>29</v>
      </c>
      <c r="D14" t="s">
        <v>18</v>
      </c>
      <c r="E14" t="s">
        <v>14</v>
      </c>
      <c r="F14" t="s">
        <v>14</v>
      </c>
      <c r="G14">
        <v>0</v>
      </c>
      <c r="H14">
        <v>85</v>
      </c>
      <c r="I14" t="s">
        <v>50</v>
      </c>
      <c r="J14">
        <v>1</v>
      </c>
      <c r="K14">
        <v>1</v>
      </c>
    </row>
    <row r="15" spans="1:11" x14ac:dyDescent="0.25">
      <c r="A15" t="s">
        <v>51</v>
      </c>
      <c r="B15">
        <v>9</v>
      </c>
      <c r="C15" t="s">
        <v>37</v>
      </c>
      <c r="D15" t="s">
        <v>22</v>
      </c>
      <c r="E15" t="s">
        <v>14</v>
      </c>
      <c r="F15" t="s">
        <v>14</v>
      </c>
      <c r="G15">
        <v>35</v>
      </c>
      <c r="H15">
        <v>30</v>
      </c>
      <c r="I15" t="s">
        <v>52</v>
      </c>
      <c r="J15">
        <v>0</v>
      </c>
      <c r="K15">
        <v>0</v>
      </c>
    </row>
    <row r="16" spans="1:11" x14ac:dyDescent="0.25">
      <c r="A16" t="s">
        <v>53</v>
      </c>
      <c r="B16">
        <v>4</v>
      </c>
      <c r="C16" t="s">
        <v>33</v>
      </c>
      <c r="D16" t="s">
        <v>30</v>
      </c>
      <c r="E16" t="s">
        <v>14</v>
      </c>
      <c r="F16" t="s">
        <v>23</v>
      </c>
      <c r="G16">
        <v>18</v>
      </c>
      <c r="H16">
        <v>55</v>
      </c>
      <c r="I16" t="s">
        <v>54</v>
      </c>
      <c r="J16">
        <v>0</v>
      </c>
      <c r="K1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3F997-9E91-414D-9955-C5E9DDABCE1E}">
  <dimension ref="A1:B5"/>
  <sheetViews>
    <sheetView zoomScale="140" zoomScaleNormal="140" workbookViewId="0"/>
  </sheetViews>
  <sheetFormatPr defaultRowHeight="15" x14ac:dyDescent="0.25"/>
  <cols>
    <col min="1" max="1" width="28.42578125" customWidth="1"/>
    <col min="2" max="2" width="27.42578125" customWidth="1"/>
  </cols>
  <sheetData>
    <row r="1" spans="1:2" ht="21" x14ac:dyDescent="0.35">
      <c r="A1" s="1" t="s">
        <v>55</v>
      </c>
      <c r="B1" s="1" t="s">
        <v>56</v>
      </c>
    </row>
    <row r="2" spans="1:2" ht="15.75" x14ac:dyDescent="0.25">
      <c r="A2" s="2" t="s">
        <v>57</v>
      </c>
      <c r="B2" s="3">
        <f>AVERAGE(Data!J2:J16)</f>
        <v>0.6</v>
      </c>
    </row>
    <row r="3" spans="1:2" ht="15.75" x14ac:dyDescent="0.25">
      <c r="A3" s="2" t="s">
        <v>58</v>
      </c>
      <c r="B3" s="2">
        <f>AVERAGE(Data!G2:G16)</f>
        <v>15.4</v>
      </c>
    </row>
    <row r="4" spans="1:2" ht="15.75" x14ac:dyDescent="0.25">
      <c r="A4" s="2" t="s">
        <v>59</v>
      </c>
      <c r="B4" s="3">
        <f>AVERAGE(Data!K2:K16)</f>
        <v>0.53333333333333333</v>
      </c>
    </row>
    <row r="5" spans="1:2" ht="15.75" x14ac:dyDescent="0.25">
      <c r="A5" s="2" t="s">
        <v>60</v>
      </c>
      <c r="B5" s="3">
        <f>COUNTIF(Data!F2:F16, "yes")/COUNTA(Data!F2:F16)</f>
        <v>0.66666666666666663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012FE-9A06-4407-8559-BB4BF371F695}">
  <dimension ref="A3:B11"/>
  <sheetViews>
    <sheetView workbookViewId="0"/>
  </sheetViews>
  <sheetFormatPr defaultRowHeight="15" x14ac:dyDescent="0.25"/>
  <cols>
    <col min="1" max="1" width="19.5703125" bestFit="1" customWidth="1"/>
    <col min="2" max="2" width="29.7109375" bestFit="1" customWidth="1"/>
  </cols>
  <sheetData>
    <row r="3" spans="1:2" x14ac:dyDescent="0.25">
      <c r="A3" s="4" t="s">
        <v>61</v>
      </c>
      <c r="B3" t="s">
        <v>63</v>
      </c>
    </row>
    <row r="4" spans="1:2" x14ac:dyDescent="0.25">
      <c r="A4" s="5" t="s">
        <v>26</v>
      </c>
      <c r="B4">
        <v>2</v>
      </c>
    </row>
    <row r="5" spans="1:2" x14ac:dyDescent="0.25">
      <c r="A5" s="5" t="s">
        <v>33</v>
      </c>
      <c r="B5">
        <v>2</v>
      </c>
    </row>
    <row r="6" spans="1:2" x14ac:dyDescent="0.25">
      <c r="A6" s="5" t="s">
        <v>12</v>
      </c>
      <c r="B6">
        <v>3</v>
      </c>
    </row>
    <row r="7" spans="1:2" x14ac:dyDescent="0.25">
      <c r="A7" s="5" t="s">
        <v>17</v>
      </c>
      <c r="B7">
        <v>2</v>
      </c>
    </row>
    <row r="8" spans="1:2" x14ac:dyDescent="0.25">
      <c r="A8" s="5" t="s">
        <v>29</v>
      </c>
      <c r="B8">
        <v>2</v>
      </c>
    </row>
    <row r="9" spans="1:2" x14ac:dyDescent="0.25">
      <c r="A9" s="5" t="s">
        <v>21</v>
      </c>
      <c r="B9">
        <v>2</v>
      </c>
    </row>
    <row r="10" spans="1:2" x14ac:dyDescent="0.25">
      <c r="A10" s="5" t="s">
        <v>37</v>
      </c>
      <c r="B10">
        <v>2</v>
      </c>
    </row>
    <row r="11" spans="1:2" x14ac:dyDescent="0.25">
      <c r="A11" s="5" t="s">
        <v>62</v>
      </c>
      <c r="B11">
        <v>15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Indicator</vt:lpstr>
      <vt:lpstr>Distribution of water 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Phyu Phyu Aung Lwin</dc:creator>
  <cp:lastModifiedBy>Phyu Phyu Aung Lwin</cp:lastModifiedBy>
  <dcterms:created xsi:type="dcterms:W3CDTF">2025-12-04T05:45:27Z</dcterms:created>
  <dcterms:modified xsi:type="dcterms:W3CDTF">2025-12-04T06:02:19Z</dcterms:modified>
</cp:coreProperties>
</file>